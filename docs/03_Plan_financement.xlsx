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ynthèse" sheetId="1" state="visible" r:id="rId3"/>
    <sheet name="2. Plan de financement" sheetId="2" state="visible" r:id="rId4"/>
    <sheet name="3. Scénarios durée" sheetId="3" state="visible" r:id="rId5"/>
    <sheet name="4. Noti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<sst xmlns="http://schemas.openxmlformats.org/spreadsheetml/2006/main" count="110" uniqueCount="110">
  <si>
    <t xml:space="preserve">PLAN DE FINANCEMENT — UBERTALLI / SCHNEIDER</t>
  </si>
  <si>
    <t xml:space="preserve">Cellules en bleu sur fond jaune = à remplir. Le reste est calculé automatiquement.</t>
  </si>
  <si>
    <t xml:space="preserve">1. REVENUS DU FOYER</t>
  </si>
  <si>
    <t xml:space="preserve">Salaire net à payer mensuel — Sonny (€) — moyenne 12 mois</t>
  </si>
  <si>
    <t xml:space="preserve">Calcul : net imposable annuel 2025 (49 873 €) × ratio 89,3 % (bulletin avril) ÷ 12 ≈ 3 712 €. Bulletin avril seul = 2 616 €. La banque utilisera la moyenne 12 mois pour intégrer les primes saisonnières.</t>
  </si>
  <si>
    <t xml:space="preserve">Salaire net à payer mensuel — Nina (€) — moyenne 12 mois</t>
  </si>
  <si>
    <t xml:space="preserve">Indiqué par l'utilisateur : 1 800 €/mois. À CONFIRMER PAR FICHE DE PAIE (brut ou net ?). Contrat 2021 = 1 589 € brut → ~1 250 € net. Si 1 800 € c'est bien net à payer, ça suppose des primes saisonnières comme Sonny.</t>
  </si>
  <si>
    <t xml:space="preserve">Revenus locatifs bruts mensuels (LMNP) (€)</t>
  </si>
  <si>
    <t xml:space="preserve">Source : LIASSE FISCALE 2025 officielle = 15 584 €/an. Activité en forte croissance (+125% vs 2024).</t>
  </si>
  <si>
    <t xml:space="preserve">Pondération bancaire des revenus locatifs (HCSF)</t>
  </si>
  <si>
    <t xml:space="preserve">Standard HCSF : 70 % des loyers retenus par la banque</t>
  </si>
  <si>
    <t xml:space="preserve">Revenus locatifs retenus par la banque (€)</t>
  </si>
  <si>
    <t xml:space="preserve">TOTAL REVENUS MENSUELS RETENUS</t>
  </si>
  <si>
    <t xml:space="preserve">2. CHARGES DE CRÉDIT ACTUELLES</t>
  </si>
  <si>
    <t xml:space="preserve">Mensualité du crédit en cours (hors assurance) (€)</t>
  </si>
  <si>
    <t xml:space="preserve">Source : tableau d'amortissement Crédit Agricole des Savoie du 29/10/2024</t>
  </si>
  <si>
    <t xml:space="preserve">Coût de l'assurance emprunteur du crédit en cours (€/mois)</t>
  </si>
  <si>
    <t xml:space="preserve">À vérifier sur le contrat (estimation : 0,3 % du capital initial / 12)</t>
  </si>
  <si>
    <t xml:space="preserve">Mensualité totale crédit actuel (avec assurance)</t>
  </si>
  <si>
    <t xml:space="preserve">3. NOUVEAU CRÉDIT — HYPOTHÈSE</t>
  </si>
  <si>
    <t xml:space="preserve">Montant à emprunter (€)</t>
  </si>
  <si>
    <t xml:space="preserve">Hypothèse — à ajuster selon le projet</t>
  </si>
  <si>
    <t xml:space="preserve">Taux nominal annuel (%)</t>
  </si>
  <si>
    <t xml:space="preserve">Taux moyen marché 2026 : ~3,1 à 3,3 % sur 25 ans</t>
  </si>
  <si>
    <t xml:space="preserve">Durée (en années)</t>
  </si>
  <si>
    <t xml:space="preserve">Durée maximale HCSF : 25 ans (27 ans en VEFA / construction)</t>
  </si>
  <si>
    <t xml:space="preserve">Taux d'assurance emprunteur (%)</t>
  </si>
  <si>
    <t xml:space="preserve">Taux annuel sur capital initial. Délégation = ~0,15 à 0,30 %. Groupe = ~0,30 à 0,40 %.</t>
  </si>
  <si>
    <t xml:space="preserve">Mensualité hors assurance (€)</t>
  </si>
  <si>
    <t xml:space="preserve">Mensualité d'assurance (€)</t>
  </si>
  <si>
    <t xml:space="preserve">Mensualité totale nouveau crédit</t>
  </si>
  <si>
    <t xml:space="preserve">4. TAUX D'ENDETTEMENT (HCSF)</t>
  </si>
  <si>
    <t xml:space="preserve">Charges totales mensuelles (crédit actuel + nouveau)</t>
  </si>
  <si>
    <t xml:space="preserve">Taux d'endettement résultant</t>
  </si>
  <si>
    <t xml:space="preserve">Plafond HCSF (35 %)</t>
  </si>
  <si>
    <t xml:space="preserve">Marge restante (positif = OK, négatif = dépassement)</t>
  </si>
  <si>
    <t xml:space="preserve">5. CAPACITÉ D'EMPRUNT MAXIMALE (HCSF 35 %)</t>
  </si>
  <si>
    <t xml:space="preserve">Mensualité maximale autorisée (35 % des revenus retenus)</t>
  </si>
  <si>
    <t xml:space="preserve">Mensualité disponible pour nouveau crédit (après crédit actuel)</t>
  </si>
  <si>
    <t xml:space="preserve">Capacité d'emprunt maximale au taux et durée choisis</t>
  </si>
  <si>
    <t xml:space="preserve">6. RESTE À VIVRE PROJETÉ</t>
  </si>
  <si>
    <t xml:space="preserve">Charges fixes mensuelles hors crédit (énergie, télécom, assurances...) (€)</t>
  </si>
  <si>
    <t xml:space="preserve">À ajuster : EDF + eau + internet + téléphone + assurances (auto, habitation, scolaire) + impôt</t>
  </si>
  <si>
    <t xml:space="preserve">Frais de garde / scolarité (€)</t>
  </si>
  <si>
    <t xml:space="preserve">Frais de garde 2025 déclarés : 3 956 €/an = ~330 €/mois (avant 2 enfants)</t>
  </si>
  <si>
    <t xml:space="preserve">Reste à vivre projeté (revenus totaux - charges crédit - charges fixes)</t>
  </si>
  <si>
    <t xml:space="preserve">Repère bancaire : minimum ~1 000 € pour un couple + 300 €/enfant. Soit ~1 600 € pour un couple + 2 enfants.</t>
  </si>
  <si>
    <t xml:space="preserve">PLAN DE FINANCEMENT DU PROJET</t>
  </si>
  <si>
    <t xml:space="preserve">BESOINS</t>
  </si>
  <si>
    <t xml:space="preserve">Prix d'acquisition du bien</t>
  </si>
  <si>
    <t xml:space="preserve">Remplir avec le prix de l'annonce ou du compromis</t>
  </si>
  <si>
    <t xml:space="preserve">Frais de notaire (en %)</t>
  </si>
  <si>
    <t xml:space="preserve">Ancien : 7,5 % en moyenne. Neuf : 2,5 %.</t>
  </si>
  <si>
    <t xml:space="preserve">Montant des frais de notaire</t>
  </si>
  <si>
    <t xml:space="preserve">Travaux estimés (3 devis joints au dossier)</t>
  </si>
  <si>
    <t xml:space="preserve">Frais de garantie (caution Crédit Logement ~1 %)</t>
  </si>
  <si>
    <t xml:space="preserve">Pourcentage appliqué au prix d'acquisition (approximation pour éviter circularité)</t>
  </si>
  <si>
    <t xml:space="preserve">Montant des frais de garantie (estimé)</t>
  </si>
  <si>
    <t xml:space="preserve">Frais de dossier</t>
  </si>
  <si>
    <t xml:space="preserve">À négocier à 0 € (déjà obtenu sur le crédit précédent)</t>
  </si>
  <si>
    <t xml:space="preserve">TOTAL DES BESOINS</t>
  </si>
  <si>
    <t xml:space="preserve">RESSOURCES</t>
  </si>
  <si>
    <t xml:space="preserve">Apport personnel — épargne disponible</t>
  </si>
  <si>
    <t xml:space="preserve">Composition annoncée : 8k€ Sonny + 12k€ Nina + 10k€ (origine à préciser). Garde 12,8k bourse + 9k crypto en réserve.</t>
  </si>
  <si>
    <t xml:space="preserve">Apport — liquidation crypto / actions (si choix)</t>
  </si>
  <si>
    <t xml:space="preserve">Bourse 12 848 € + crypto ~9 000 €. Recommandation : ne pas liquider (réserve de précaution rassure la banque). Plus-values taxées à 30 %.</t>
  </si>
  <si>
    <t xml:space="preserve">Éco-PTZ (rénovation énergétique, jusqu'à 50 000 €)</t>
  </si>
  <si>
    <t xml:space="preserve">Prêt principal (calculé)</t>
  </si>
  <si>
    <t xml:space="preserve">TOTAL RESSOURCES</t>
  </si>
  <si>
    <t xml:space="preserve">VÉRIFICATION ÉQUILIBRE</t>
  </si>
  <si>
    <t xml:space="preserve">Écart Besoins - Ressources (doit être 0)</t>
  </si>
  <si>
    <t xml:space="preserve">Apport en % du coût total</t>
  </si>
  <si>
    <t xml:space="preserve">Recommandé : 10 % minimum. 20 % très apprécié des banques.</t>
  </si>
  <si>
    <t xml:space="preserve">COMPARATIF DES DURÉES (à montant emprunté constant)</t>
  </si>
  <si>
    <t xml:space="preserve">Montant emprunté (€)</t>
  </si>
  <si>
    <t xml:space="preserve">Taux nominal</t>
  </si>
  <si>
    <t xml:space="preserve">Taux d'assurance</t>
  </si>
  <si>
    <t xml:space="preserve">Durée (ans)</t>
  </si>
  <si>
    <t xml:space="preserve">Mensualité (hors ass.)</t>
  </si>
  <si>
    <t xml:space="preserve">Mensualité d'assurance</t>
  </si>
  <si>
    <t xml:space="preserve">Mensualité totale</t>
  </si>
  <si>
    <t xml:space="preserve">Coût total des intérêts</t>
  </si>
  <si>
    <t xml:space="preserve">NOTICE D'UTILISATION</t>
  </si>
  <si>
    <t xml:space="preserve">Comment utiliser ce fichier</t>
  </si>
  <si>
    <t xml:space="preserve">1. Onglet '1. Synthèse' : remplis les cases sur fond JAUNE avec tes vrais chiffres.</t>
  </si>
  <si>
    <t xml:space="preserve">   - Salaires nets à payer (à la louche, à ajuster avec les bulletins de salaire)</t>
  </si>
  <si>
    <t xml:space="preserve">   - Loyers locatifs (Airbnb + Booking)</t>
  </si>
  <si>
    <t xml:space="preserve">   - Mensualité actuelle du crédit (donnée : 707,61 € hors assurance)</t>
  </si>
  <si>
    <t xml:space="preserve">   - Hypothèses du nouveau crédit (montant, taux, durée, assurance)</t>
  </si>
  <si>
    <t xml:space="preserve">2. Le taux d'endettement et la capacité d'emprunt se calculent automatiquement.</t>
  </si>
  <si>
    <t xml:space="preserve">   - Vert = OK (sous 35 %)</t>
  </si>
  <si>
    <t xml:space="preserve">   - Orange/rouge = dépassement HCSF (refus probable)</t>
  </si>
  <si>
    <t xml:space="preserve">3. Onglet '2. Plan de financement' : structure le projet (prix, frais, apport, prêt).</t>
  </si>
  <si>
    <t xml:space="preserve">4. Onglet '3. Scénarios durée' : compare l'impact de la durée sur la mensualité et le coût total.</t>
  </si>
  <si>
    <t xml:space="preserve">Hypothèses utilisées</t>
  </si>
  <si>
    <t xml:space="preserve">- Plafond HCSF : 35 % (taux d'endettement maximum incluant l'assurance emprunteur)</t>
  </si>
  <si>
    <t xml:space="preserve">- Pondération des revenus locatifs : 70 % (norme HCSF)</t>
  </si>
  <si>
    <t xml:space="preserve">- Frais de notaire dans l'ancien : 7,5 % (estimation)</t>
  </si>
  <si>
    <t xml:space="preserve">- Frais de garantie : 1 % (caution Crédit Logement, restituée en partie en fin de prêt)</t>
  </si>
  <si>
    <t xml:space="preserve">Sources des données</t>
  </si>
  <si>
    <t xml:space="preserve">- Salaires : avis d'imposition 2024 et 2025 + déclaration 2025</t>
  </si>
  <si>
    <t xml:space="preserve">- Crédit en cours : tableau d'amortissement Crédit Agricole des Savoie du 29/10/2024</t>
  </si>
  <si>
    <t xml:space="preserve">- Activité LMNP : déclaration 2025 (Airbnb : 392 € + Booking : 12 812 €)</t>
  </si>
  <si>
    <t xml:space="preserve">- Règles HCSF : Décision D-HCSF-2023-6 du 18/12/2023</t>
  </si>
  <si>
    <t xml:space="preserve">Limites et précisions</t>
  </si>
  <si>
    <t xml:space="preserve">- Les revenus mensuels sont approximés à partir des montants annuels imposables.</t>
  </si>
  <si>
    <t xml:space="preserve">- Le « net à payer » réel est légèrement supérieur au « net imposable » (CSG/CRDS non déductibles).</t>
  </si>
  <si>
    <t xml:space="preserve">- Pour un calcul précis, ajuste avec les chiffres exacts de tes derniers bulletins de salaire.</t>
  </si>
  <si>
    <t xml:space="preserve">- Le coût d'assurance du nouveau prêt dépend de l'âge, de l'état de santé et du choix groupe vs délégation.</t>
  </si>
  <si>
    <t xml:space="preserve">- La banque peut appliquer une méthode différentielle pour les revenus locatifs si l'activité est rentable.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</si>
</sst>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"/>
    <numFmt numFmtId="166" formatCode="0%"/>
    <numFmt numFmtId="167" formatCode="#,##0.00&quot; €&quot;"/>
    <numFmt numFmtId="168" formatCode="0.00%"/>
    <numFmt numFmtId="169" formatCode="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  <sz val="12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385723"/>
        <sz val="12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60"/>
  </cols>
  <sheetData>
    <row r="2" customFormat="false" ht="30" hidden="false" customHeight="tru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21.75" hidden="false" customHeight="true" outlineLevel="0" collapsed="false">
      <c r="B5" s="3" t="s">
        <v>2</v>
      </c>
      <c r="C5" s="3"/>
    </row>
    <row r="6" customFormat="false" ht="24.75" hidden="false" customHeight="true" outlineLevel="0" collapsed="false">
      <c r="B6" s="4" t="s">
        <v>3</v>
      </c>
      <c r="C6" s="5" t="n">
        <v>3712</v>
      </c>
      <c r="E6" s="6" t="s">
        <v>4</v>
      </c>
    </row>
    <row r="7" customFormat="false" ht="24.75" hidden="false" customHeight="true" outlineLevel="0" collapsed="false">
      <c r="B7" s="4" t="s">
        <v>5</v>
      </c>
      <c r="C7" s="5" t="n">
        <v>1800</v>
      </c>
      <c r="E7" s="6" t="s">
        <v>6</v>
      </c>
    </row>
    <row r="8" customFormat="false" ht="24.75" hidden="false" customHeight="true" outlineLevel="0" collapsed="false">
      <c r="B8" s="4" t="s">
        <v>7</v>
      </c>
      <c r="C8" s="5" t="n">
        <v>1299</v>
      </c>
      <c r="E8" s="6" t="s">
        <v>8</v>
      </c>
    </row>
    <row r="9" customFormat="false" ht="24.75" hidden="false" customHeight="true" outlineLevel="0" collapsed="false">
      <c r="B9" s="4" t="s">
        <v>9</v>
      </c>
      <c r="C9" s="7" t="n">
        <v>0.7</v>
      </c>
      <c r="E9" s="6" t="s">
        <v>10</v>
      </c>
    </row>
    <row r="10" customFormat="false" ht="15" hidden="false" customHeight="false" outlineLevel="0" collapsed="false">
      <c r="B10" s="8" t="s">
        <v>11</v>
      </c>
      <c r="C10" s="9" t="n">
        <f aca="false">C8*C9</f>
        <v>909.3</v>
      </c>
    </row>
    <row r="11" customFormat="false" ht="15" hidden="false" customHeight="false" outlineLevel="0" collapsed="false">
      <c r="B11" s="10" t="s">
        <v>12</v>
      </c>
      <c r="C11" s="11" t="n">
        <f aca="false">C6+C7+C10</f>
        <v>6421.3</v>
      </c>
    </row>
    <row r="13" customFormat="false" ht="21.75" hidden="false" customHeight="true" outlineLevel="0" collapsed="false">
      <c r="B13" s="3" t="s">
        <v>13</v>
      </c>
      <c r="C13" s="3"/>
    </row>
    <row r="14" customFormat="false" ht="24.75" hidden="false" customHeight="true" outlineLevel="0" collapsed="false">
      <c r="B14" s="4" t="s">
        <v>14</v>
      </c>
      <c r="C14" s="12" t="n">
        <v>707.61</v>
      </c>
      <c r="E14" s="6" t="s">
        <v>15</v>
      </c>
    </row>
    <row r="15" customFormat="false" ht="24.75" hidden="false" customHeight="true" outlineLevel="0" collapsed="false">
      <c r="B15" s="4" t="s">
        <v>16</v>
      </c>
      <c r="C15" s="5" t="n">
        <v>35</v>
      </c>
      <c r="E15" s="6" t="s">
        <v>17</v>
      </c>
    </row>
    <row r="16" customFormat="false" ht="15" hidden="false" customHeight="false" outlineLevel="0" collapsed="false">
      <c r="B16" s="8" t="s">
        <v>18</v>
      </c>
      <c r="C16" s="9" t="n">
        <f aca="false">C14+C15</f>
        <v>742.61</v>
      </c>
    </row>
    <row r="18" customFormat="false" ht="21.75" hidden="false" customHeight="true" outlineLevel="0" collapsed="false">
      <c r="B18" s="3" t="s">
        <v>19</v>
      </c>
      <c r="C18" s="3"/>
    </row>
    <row r="19" customFormat="false" ht="24.75" hidden="false" customHeight="true" outlineLevel="0" collapsed="false">
      <c r="B19" s="4" t="s">
        <v>20</v>
      </c>
      <c r="C19" s="5" t="n">
        <v>250000</v>
      </c>
      <c r="E19" s="6" t="s">
        <v>21</v>
      </c>
    </row>
    <row r="20" customFormat="false" ht="24.75" hidden="false" customHeight="true" outlineLevel="0" collapsed="false">
      <c r="B20" s="4" t="s">
        <v>22</v>
      </c>
      <c r="C20" s="13" t="n">
        <v>0.032</v>
      </c>
      <c r="E20" s="6" t="s">
        <v>23</v>
      </c>
    </row>
    <row r="21" customFormat="false" ht="24.75" hidden="false" customHeight="true" outlineLevel="0" collapsed="false">
      <c r="B21" s="4" t="s">
        <v>24</v>
      </c>
      <c r="C21" s="14" t="n">
        <v>25</v>
      </c>
      <c r="E21" s="6" t="s">
        <v>25</v>
      </c>
    </row>
    <row r="22" customFormat="false" ht="24.75" hidden="false" customHeight="true" outlineLevel="0" collapsed="false">
      <c r="B22" s="4" t="s">
        <v>26</v>
      </c>
      <c r="C22" s="13" t="n">
        <v>0.0034</v>
      </c>
      <c r="E22" s="6" t="s">
        <v>27</v>
      </c>
    </row>
    <row r="23" customFormat="false" ht="15" hidden="false" customHeight="false" outlineLevel="0" collapsed="false">
      <c r="B23" s="8" t="s">
        <v>28</v>
      </c>
      <c r="C23" s="15" t="n">
        <f aca="false">-PMT(C20/12,C21*12,C19)</f>
        <v>1211.69745461657</v>
      </c>
    </row>
    <row r="24" customFormat="false" ht="15" hidden="false" customHeight="false" outlineLevel="0" collapsed="false">
      <c r="B24" s="8" t="s">
        <v>29</v>
      </c>
      <c r="C24" s="15" t="n">
        <f aca="false">C19*C22/12</f>
        <v>70.8333333333333</v>
      </c>
    </row>
    <row r="25" customFormat="false" ht="15" hidden="false" customHeight="false" outlineLevel="0" collapsed="false">
      <c r="B25" s="10" t="s">
        <v>30</v>
      </c>
      <c r="C25" s="16" t="n">
        <f aca="false">C23+C24</f>
        <v>1282.5307879499</v>
      </c>
    </row>
    <row r="27" customFormat="false" ht="21.75" hidden="false" customHeight="true" outlineLevel="0" collapsed="false">
      <c r="B27" s="3" t="s">
        <v>31</v>
      </c>
      <c r="C27" s="3"/>
    </row>
    <row r="28" customFormat="false" ht="26.85" hidden="false" customHeight="false" outlineLevel="0" collapsed="false">
      <c r="B28" s="8" t="s">
        <v>32</v>
      </c>
      <c r="C28" s="15" t="n">
        <f aca="false">C16+C25</f>
        <v>2025.1407879499</v>
      </c>
    </row>
    <row r="29" customFormat="false" ht="15" hidden="false" customHeight="false" outlineLevel="0" collapsed="false">
      <c r="B29" s="17" t="s">
        <v>33</v>
      </c>
      <c r="C29" s="18" t="n">
        <f aca="false">C28/C11</f>
        <v>0.3153786286188</v>
      </c>
    </row>
    <row r="30" customFormat="false" ht="15" hidden="false" customHeight="false" outlineLevel="0" collapsed="false">
      <c r="B30" s="4" t="s">
        <v>34</v>
      </c>
      <c r="C30" s="19" t="n">
        <v>0.35</v>
      </c>
    </row>
    <row r="31" customFormat="false" ht="26.85" hidden="false" customHeight="false" outlineLevel="0" collapsed="false">
      <c r="B31" s="20" t="s">
        <v>35</v>
      </c>
      <c r="C31" s="21" t="n">
        <f aca="false">(C30-C29)*C11</f>
        <v>222.314212050099</v>
      </c>
    </row>
    <row r="33" customFormat="false" ht="21.75" hidden="false" customHeight="true" outlineLevel="0" collapsed="false">
      <c r="B33" s="3" t="s">
        <v>36</v>
      </c>
      <c r="C33" s="3"/>
    </row>
    <row r="34" customFormat="false" ht="26.85" hidden="false" customHeight="false" outlineLevel="0" collapsed="false">
      <c r="B34" s="8" t="s">
        <v>37</v>
      </c>
      <c r="C34" s="9" t="n">
        <f aca="false">C30*C11</f>
        <v>2247.455</v>
      </c>
    </row>
    <row r="35" customFormat="false" ht="26.85" hidden="false" customHeight="false" outlineLevel="0" collapsed="false">
      <c r="B35" s="8" t="s">
        <v>38</v>
      </c>
      <c r="C35" s="9" t="n">
        <f aca="false">C34-C16</f>
        <v>1504.845</v>
      </c>
    </row>
    <row r="36" customFormat="false" ht="26.85" hidden="false" customHeight="false" outlineLevel="0" collapsed="false">
      <c r="B36" s="20" t="s">
        <v>39</v>
      </c>
      <c r="C36" s="21" t="n">
        <f aca="false">IF(C35&gt;0,C35/(-PMT(C20/12,C21*12,1)+C22/12),0)</f>
        <v>293335.063403324</v>
      </c>
    </row>
    <row r="38" customFormat="false" ht="21.75" hidden="false" customHeight="true" outlineLevel="0" collapsed="false">
      <c r="B38" s="3" t="s">
        <v>40</v>
      </c>
      <c r="C38" s="3"/>
    </row>
    <row r="39" customFormat="false" ht="30" hidden="false" customHeight="true" outlineLevel="0" collapsed="false">
      <c r="B39" s="4" t="s">
        <v>41</v>
      </c>
      <c r="C39" s="5" t="n">
        <v>600</v>
      </c>
      <c r="E39" s="6" t="s">
        <v>42</v>
      </c>
    </row>
    <row r="40" customFormat="false" ht="30" hidden="false" customHeight="true" outlineLevel="0" collapsed="false">
      <c r="B40" s="4" t="s">
        <v>43</v>
      </c>
      <c r="C40" s="5" t="n">
        <v>400</v>
      </c>
      <c r="E40" s="6" t="s">
        <v>44</v>
      </c>
    </row>
    <row r="41" customFormat="false" ht="30" hidden="false" customHeight="true" outlineLevel="0" collapsed="false">
      <c r="B41" s="20" t="s">
        <v>45</v>
      </c>
      <c r="C41" s="21" t="n">
        <f aca="false">C11-C28-C39-C40</f>
        <v>3396.1592120501</v>
      </c>
      <c r="E41" s="6" t="s">
        <v>46</v>
      </c>
    </row>
  </sheetData>
  <mergeCells count="8">
    <mergeCell ref="B2:E2"/>
    <mergeCell ref="B3:E3"/>
    <mergeCell ref="B5:C5"/>
    <mergeCell ref="B13:C13"/>
    <mergeCell ref="B18:C18"/>
    <mergeCell ref="B27:C27"/>
    <mergeCell ref="B33:C33"/>
    <mergeCell ref="B38:C38"/>
  </mergeCells>
  <conditionalFormatting sqref="C29">
    <cfRule type="cellIs" priority="2" operator="greaterThan" aboveAverage="0" equalAverage="0" bottom="0" percent="0" rank="0" text="" dxfId="0">
      <formula>0.35</formula>
    </cfRule>
    <cfRule type="cellIs" priority="3" operator="lessThanOrEqual" aboveAverage="0" equalAverage="0" bottom="0" percent="0" rank="0" text="" dxfId="1">
      <formula>0.35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4"/>
    <col collapsed="false" customWidth="true" hidden="false" outlineLevel="0" max="5" min="5" style="0" width="50"/>
  </cols>
  <sheetData>
    <row r="2" customFormat="false" ht="30" hidden="false" customHeight="true" outlineLevel="0" collapsed="false">
      <c r="B2" s="1" t="s">
        <v>47</v>
      </c>
      <c r="C2" s="1"/>
      <c r="D2" s="1"/>
      <c r="E2" s="1"/>
    </row>
    <row r="4" customFormat="false" ht="21.75" hidden="false" customHeight="true" outlineLevel="0" collapsed="false">
      <c r="B4" s="3" t="s">
        <v>48</v>
      </c>
      <c r="C4" s="3"/>
    </row>
    <row r="5" customFormat="false" ht="21.75" hidden="false" customHeight="true" outlineLevel="0" collapsed="false">
      <c r="B5" s="4" t="s">
        <v>49</v>
      </c>
      <c r="C5" s="5" t="n">
        <v>0</v>
      </c>
      <c r="E5" s="6" t="s">
        <v>50</v>
      </c>
    </row>
    <row r="6" customFormat="false" ht="21.75" hidden="false" customHeight="true" outlineLevel="0" collapsed="false">
      <c r="B6" s="4" t="s">
        <v>51</v>
      </c>
      <c r="C6" s="22" t="n">
        <v>0.075</v>
      </c>
      <c r="E6" s="6" t="s">
        <v>52</v>
      </c>
    </row>
    <row r="7" customFormat="false" ht="15" hidden="false" customHeight="false" outlineLevel="0" collapsed="false">
      <c r="B7" s="8" t="s">
        <v>53</v>
      </c>
      <c r="C7" s="9" t="n">
        <f aca="false">C5*C6</f>
        <v>0</v>
      </c>
    </row>
    <row r="8" customFormat="false" ht="15" hidden="false" customHeight="false" outlineLevel="0" collapsed="false">
      <c r="B8" s="4" t="s">
        <v>54</v>
      </c>
      <c r="C8" s="5" t="n">
        <v>0</v>
      </c>
    </row>
    <row r="9" customFormat="false" ht="23.85" hidden="false" customHeight="false" outlineLevel="0" collapsed="false">
      <c r="B9" s="4" t="s">
        <v>55</v>
      </c>
      <c r="C9" s="22" t="n">
        <v>0.01</v>
      </c>
      <c r="E9" s="6" t="s">
        <v>56</v>
      </c>
    </row>
    <row r="10" customFormat="false" ht="15" hidden="false" customHeight="false" outlineLevel="0" collapsed="false">
      <c r="B10" s="8" t="s">
        <v>57</v>
      </c>
      <c r="C10" s="9" t="n">
        <f aca="false">C5*C9</f>
        <v>0</v>
      </c>
    </row>
    <row r="11" customFormat="false" ht="15" hidden="false" customHeight="false" outlineLevel="0" collapsed="false">
      <c r="B11" s="4" t="s">
        <v>58</v>
      </c>
      <c r="C11" s="5" t="n">
        <v>0</v>
      </c>
      <c r="E11" s="6" t="s">
        <v>59</v>
      </c>
    </row>
    <row r="12" customFormat="false" ht="15" hidden="false" customHeight="false" outlineLevel="0" collapsed="false">
      <c r="B12" s="10" t="s">
        <v>60</v>
      </c>
      <c r="C12" s="11" t="n">
        <f aca="false">C5+C7+C8+C10+C11</f>
        <v>0</v>
      </c>
    </row>
    <row r="14" customFormat="false" ht="21.75" hidden="false" customHeight="true" outlineLevel="0" collapsed="false">
      <c r="B14" s="3" t="s">
        <v>61</v>
      </c>
      <c r="C14" s="3"/>
    </row>
    <row r="15" customFormat="false" ht="35.05" hidden="false" customHeight="false" outlineLevel="0" collapsed="false">
      <c r="B15" s="4" t="s">
        <v>62</v>
      </c>
      <c r="C15" s="5" t="n">
        <v>30000</v>
      </c>
      <c r="E15" s="6" t="s">
        <v>63</v>
      </c>
    </row>
    <row r="16" customFormat="false" ht="21.75" hidden="false" customHeight="true" outlineLevel="0" collapsed="false">
      <c r="B16" s="4" t="s">
        <v>64</v>
      </c>
      <c r="C16" s="5" t="n">
        <v>0</v>
      </c>
      <c r="E16" s="6" t="s">
        <v>65</v>
      </c>
    </row>
    <row r="17" customFormat="false" ht="15" hidden="false" customHeight="false" outlineLevel="0" collapsed="false">
      <c r="B17" s="4" t="s">
        <v>66</v>
      </c>
      <c r="C17" s="5" t="n">
        <v>0</v>
      </c>
    </row>
    <row r="18" customFormat="false" ht="15" hidden="false" customHeight="false" outlineLevel="0" collapsed="false">
      <c r="B18" s="10" t="s">
        <v>67</v>
      </c>
      <c r="C18" s="11" t="n">
        <f aca="false">C12-C15-C16-C17</f>
        <v>-30000</v>
      </c>
    </row>
    <row r="19" customFormat="false" ht="15" hidden="false" customHeight="false" outlineLevel="0" collapsed="false">
      <c r="B19" s="10" t="s">
        <v>68</v>
      </c>
      <c r="C19" s="11" t="n">
        <f aca="false">C15+C16+C17+C18</f>
        <v>0</v>
      </c>
    </row>
    <row r="21" customFormat="false" ht="21.75" hidden="false" customHeight="true" outlineLevel="0" collapsed="false">
      <c r="B21" s="3" t="s">
        <v>69</v>
      </c>
      <c r="C21" s="3"/>
    </row>
    <row r="22" customFormat="false" ht="15" hidden="false" customHeight="false" outlineLevel="0" collapsed="false">
      <c r="B22" s="8" t="s">
        <v>70</v>
      </c>
      <c r="C22" s="9" t="n">
        <f aca="false">C12-C19</f>
        <v>0</v>
      </c>
    </row>
    <row r="23" customFormat="false" ht="21.75" hidden="false" customHeight="true" outlineLevel="0" collapsed="false">
      <c r="B23" s="8" t="s">
        <v>71</v>
      </c>
      <c r="C23" s="23" t="n">
        <f aca="false">IF(C12&gt;0,(C15+C16)/C12,0)</f>
        <v>0</v>
      </c>
      <c r="E23" s="6" t="s">
        <v>72</v>
      </c>
    </row>
  </sheetData>
  <mergeCells count="4">
    <mergeCell ref="B2:E2"/>
    <mergeCell ref="B4:C4"/>
    <mergeCell ref="B14:C14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18"/>
  </cols>
  <sheetData>
    <row r="2" customFormat="false" ht="30" hidden="false" customHeight="true" outlineLevel="0" collapsed="false">
      <c r="B2" s="1" t="s">
        <v>73</v>
      </c>
      <c r="C2" s="1"/>
      <c r="D2" s="1"/>
      <c r="E2" s="1"/>
      <c r="F2" s="1"/>
    </row>
    <row r="4" customFormat="false" ht="26.85" hidden="false" customHeight="false" outlineLevel="0" collapsed="false">
      <c r="B4" s="4" t="s">
        <v>74</v>
      </c>
      <c r="C4" s="9" t="n">
        <f aca="false">'1. Synthèse'!C19</f>
        <v>250000</v>
      </c>
    </row>
    <row r="5" customFormat="false" ht="15" hidden="false" customHeight="false" outlineLevel="0" collapsed="false">
      <c r="B5" s="4" t="s">
        <v>75</v>
      </c>
      <c r="C5" s="24" t="n">
        <f aca="false">'1. Synthèse'!C20</f>
        <v>0.032</v>
      </c>
    </row>
    <row r="6" customFormat="false" ht="15" hidden="false" customHeight="false" outlineLevel="0" collapsed="false">
      <c r="B6" s="4" t="s">
        <v>76</v>
      </c>
      <c r="C6" s="24" t="n">
        <f aca="false">'1. Synthèse'!C22</f>
        <v>0.0034</v>
      </c>
    </row>
    <row r="8" customFormat="false" ht="34.5" hidden="false" customHeight="true" outlineLevel="0" collapsed="false">
      <c r="B8" s="25" t="s">
        <v>77</v>
      </c>
      <c r="C8" s="25" t="s">
        <v>78</v>
      </c>
      <c r="D8" s="25" t="s">
        <v>79</v>
      </c>
      <c r="E8" s="25" t="s">
        <v>80</v>
      </c>
      <c r="F8" s="25" t="s">
        <v>81</v>
      </c>
    </row>
    <row r="9" customFormat="false" ht="15" hidden="false" customHeight="false" outlineLevel="0" collapsed="false">
      <c r="B9" s="26" t="n">
        <v>15</v>
      </c>
      <c r="C9" s="9" t="n">
        <f aca="false">-PMT(C5/12,B9*12,C4)</f>
        <v>1750.60298947023</v>
      </c>
      <c r="D9" s="9" t="n">
        <f aca="false">C4*C6/12</f>
        <v>70.8333333333333</v>
      </c>
      <c r="E9" s="9" t="n">
        <f aca="false">C9+D9</f>
        <v>1821.43632280356</v>
      </c>
      <c r="F9" s="9" t="n">
        <f aca="false">C9*B9*12-C4</f>
        <v>65108.5381046415</v>
      </c>
    </row>
    <row r="10" customFormat="false" ht="15" hidden="false" customHeight="false" outlineLevel="0" collapsed="false">
      <c r="B10" s="26" t="n">
        <v>20</v>
      </c>
      <c r="C10" s="9" t="n">
        <f aca="false">-PMT(C5/12,B10*12,C4)</f>
        <v>1411.65707432717</v>
      </c>
      <c r="D10" s="9" t="n">
        <f aca="false">C4*C6/12</f>
        <v>70.8333333333333</v>
      </c>
      <c r="E10" s="9" t="n">
        <f aca="false">C10+D10</f>
        <v>1482.4904076605</v>
      </c>
      <c r="F10" s="9" t="n">
        <f aca="false">C10*B10*12-C4</f>
        <v>88797.6978385208</v>
      </c>
    </row>
    <row r="11" customFormat="false" ht="15" hidden="false" customHeight="false" outlineLevel="0" collapsed="false">
      <c r="B11" s="26" t="n">
        <v>25</v>
      </c>
      <c r="C11" s="9" t="n">
        <f aca="false">-PMT(C5/12,B11*12,C4)</f>
        <v>1211.69745461657</v>
      </c>
      <c r="D11" s="9" t="n">
        <f aca="false">C4*C6/12</f>
        <v>70.8333333333333</v>
      </c>
      <c r="E11" s="9" t="n">
        <f aca="false">C11+D11</f>
        <v>1282.5307879499</v>
      </c>
      <c r="F11" s="9" t="n">
        <f aca="false">C11*B11*12-C4</f>
        <v>113509.23638497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30" hidden="false" customHeight="true" outlineLevel="0" collapsed="false">
      <c r="B2" s="27" t="s">
        <v>82</v>
      </c>
    </row>
    <row r="4" customFormat="false" ht="15" hidden="false" customHeight="false" outlineLevel="0" collapsed="false">
      <c r="B4" s="28" t="s">
        <v>83</v>
      </c>
    </row>
    <row r="5" customFormat="false" ht="15" hidden="false" customHeight="false" outlineLevel="0" collapsed="false">
      <c r="B5" s="29"/>
    </row>
    <row r="6" customFormat="false" ht="15" hidden="false" customHeight="false" outlineLevel="0" collapsed="false">
      <c r="B6" s="29" t="s">
        <v>84</v>
      </c>
    </row>
    <row r="7" customFormat="false" ht="15" hidden="false" customHeight="false" outlineLevel="0" collapsed="false">
      <c r="B7" s="29" t="s">
        <v>85</v>
      </c>
    </row>
    <row r="8" customFormat="false" ht="15" hidden="false" customHeight="false" outlineLevel="0" collapsed="false">
      <c r="B8" s="29" t="s">
        <v>86</v>
      </c>
    </row>
    <row r="9" customFormat="false" ht="15" hidden="false" customHeight="false" outlineLevel="0" collapsed="false">
      <c r="B9" s="29" t="s">
        <v>87</v>
      </c>
    </row>
    <row r="10" customFormat="false" ht="15" hidden="false" customHeight="false" outlineLevel="0" collapsed="false">
      <c r="B10" s="29" t="s">
        <v>88</v>
      </c>
    </row>
    <row r="11" customFormat="false" ht="15" hidden="false" customHeight="false" outlineLevel="0" collapsed="false">
      <c r="B11" s="29"/>
    </row>
    <row r="12" customFormat="false" ht="15" hidden="false" customHeight="false" outlineLevel="0" collapsed="false">
      <c r="B12" s="29" t="s">
        <v>89</v>
      </c>
    </row>
    <row r="13" customFormat="false" ht="15" hidden="false" customHeight="false" outlineLevel="0" collapsed="false">
      <c r="B13" s="29" t="s">
        <v>90</v>
      </c>
    </row>
    <row r="14" customFormat="false" ht="15" hidden="false" customHeight="false" outlineLevel="0" collapsed="false">
      <c r="B14" s="29" t="s">
        <v>91</v>
      </c>
    </row>
    <row r="15" customFormat="false" ht="15" hidden="false" customHeight="false" outlineLevel="0" collapsed="false">
      <c r="B15" s="29"/>
    </row>
    <row r="16" customFormat="false" ht="15" hidden="false" customHeight="false" outlineLevel="0" collapsed="false">
      <c r="B16" s="29" t="s">
        <v>92</v>
      </c>
    </row>
    <row r="17" customFormat="false" ht="15" hidden="false" customHeight="false" outlineLevel="0" collapsed="false">
      <c r="B17" s="29"/>
    </row>
    <row r="18" customFormat="false" ht="15" hidden="false" customHeight="false" outlineLevel="0" collapsed="false">
      <c r="B18" s="29" t="s">
        <v>93</v>
      </c>
    </row>
    <row r="19" customFormat="false" ht="15" hidden="false" customHeight="false" outlineLevel="0" collapsed="false">
      <c r="B19" s="29"/>
    </row>
    <row r="20" customFormat="false" ht="15" hidden="false" customHeight="false" outlineLevel="0" collapsed="false">
      <c r="B20" s="28" t="s">
        <v>94</v>
      </c>
    </row>
    <row r="21" customFormat="false" ht="15" hidden="false" customHeight="false" outlineLevel="0" collapsed="false">
      <c r="B21" s="29"/>
    </row>
    <row r="22" customFormat="false" ht="15" hidden="false" customHeight="false" outlineLevel="0" collapsed="false">
      <c r="B22" s="29" t="s">
        <v>95</v>
      </c>
    </row>
    <row r="23" customFormat="false" ht="15" hidden="false" customHeight="false" outlineLevel="0" collapsed="false">
      <c r="B23" s="29" t="s">
        <v>96</v>
      </c>
    </row>
    <row r="24" customFormat="false" ht="15" hidden="false" customHeight="false" outlineLevel="0" collapsed="false">
      <c r="B24" s="29" t="s">
        <v>97</v>
      </c>
    </row>
    <row r="25" customFormat="false" ht="15" hidden="false" customHeight="false" outlineLevel="0" collapsed="false">
      <c r="B25" s="29" t="s">
        <v>98</v>
      </c>
    </row>
    <row r="26" customFormat="false" ht="15" hidden="false" customHeight="false" outlineLevel="0" collapsed="false">
      <c r="B26" s="29"/>
    </row>
    <row r="27" customFormat="false" ht="15" hidden="false" customHeight="false" outlineLevel="0" collapsed="false">
      <c r="B27" s="28" t="s">
        <v>99</v>
      </c>
    </row>
    <row r="28" customFormat="false" ht="15" hidden="false" customHeight="false" outlineLevel="0" collapsed="false">
      <c r="B28" s="29"/>
    </row>
    <row r="29" customFormat="false" ht="15" hidden="false" customHeight="false" outlineLevel="0" collapsed="false">
      <c r="B29" s="29" t="s">
        <v>100</v>
      </c>
    </row>
    <row r="30" customFormat="false" ht="15" hidden="false" customHeight="false" outlineLevel="0" collapsed="false">
      <c r="B30" s="29" t="s">
        <v>101</v>
      </c>
    </row>
    <row r="31" customFormat="false" ht="15" hidden="false" customHeight="false" outlineLevel="0" collapsed="false">
      <c r="B31" s="29" t="s">
        <v>102</v>
      </c>
    </row>
    <row r="32" customFormat="false" ht="15" hidden="false" customHeight="false" outlineLevel="0" collapsed="false">
      <c r="B32" s="29" t="s">
        <v>103</v>
      </c>
    </row>
    <row r="33" customFormat="false" ht="15" hidden="false" customHeight="false" outlineLevel="0" collapsed="false">
      <c r="B33" s="29"/>
    </row>
    <row r="34" customFormat="false" ht="15" hidden="false" customHeight="false" outlineLevel="0" collapsed="false">
      <c r="B34" s="28" t="s">
        <v>104</v>
      </c>
    </row>
    <row r="35" customFormat="false" ht="15" hidden="false" customHeight="false" outlineLevel="0" collapsed="false">
      <c r="B35" s="29"/>
    </row>
    <row r="36" customFormat="false" ht="15" hidden="false" customHeight="false" outlineLevel="0" collapsed="false">
      <c r="B36" s="29" t="s">
        <v>105</v>
      </c>
    </row>
    <row r="37" customFormat="false" ht="15" hidden="false" customHeight="false" outlineLevel="0" collapsed="false">
      <c r="B37" s="29" t="s">
        <v>106</v>
      </c>
    </row>
    <row r="38" customFormat="false" ht="15" hidden="false" customHeight="false" outlineLevel="0" collapsed="false">
      <c r="B38" s="29" t="s">
        <v>107</v>
      </c>
    </row>
    <row r="39" customFormat="false" ht="15" hidden="false" customHeight="false" outlineLevel="0" collapsed="false">
      <c r="B39" s="29" t="s">
        <v>108</v>
      </c>
    </row>
    <row r="40" customFormat="false" ht="15" hidden="false" customHeight="false" outlineLevel="0" collapsed="false">
      <c r="B40" s="29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2026-05-01T15:31:01Z</dcterms:created>
  <dc:creator>openpyxl</dc:creator>
  <dc:description/>
  <dc:language>en-US</dc:language>
  <cp:lastModifiedBy/>
  <dcterms:modified xsi:type="dcterms:W3CDTF">2026-05-01T15:31:01Z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